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h.sgm/Documents/GitHub_Projects/cluster-benchmarks/Runtimes/"/>
    </mc:Choice>
  </mc:AlternateContent>
  <xr:revisionPtr revIDLastSave="0" documentId="13_ncr:1_{44D84C85-193F-4941-9DCE-BE6D455B6FBC}" xr6:coauthVersionLast="47" xr6:coauthVersionMax="47" xr10:uidLastSave="{00000000-0000-0000-0000-000000000000}"/>
  <bookViews>
    <workbookView xWindow="-46860" yWindow="2360" windowWidth="50900" windowHeight="22360" xr2:uid="{FA26BBF9-F3F5-4DB2-9994-9FB8FD81160A}"/>
  </bookViews>
  <sheets>
    <sheet name="Runtimes" sheetId="1" r:id="rId1"/>
    <sheet name="Auth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E17" i="1"/>
  <c r="E19" i="1"/>
  <c r="E16" i="1"/>
  <c r="E15" i="1"/>
</calcChain>
</file>

<file path=xl/sharedStrings.xml><?xml version="1.0" encoding="utf-8"?>
<sst xmlns="http://schemas.openxmlformats.org/spreadsheetml/2006/main" count="224" uniqueCount="104">
  <si>
    <t>Agent Number</t>
  </si>
  <si>
    <t>WorkM5</t>
  </si>
  <si>
    <t>(10c—4.61GHz)</t>
  </si>
  <si>
    <t>AMD Ryzen 7 2700 </t>
  </si>
  <si>
    <t>DA</t>
  </si>
  <si>
    <t>(9 cores 4Ghz, OC)</t>
  </si>
  <si>
    <t>#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</si>
  <si>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</si>
  <si>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</si>
  <si>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</si>
  <si>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</si>
  <si>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</si>
  <si>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</si>
  <si>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</si>
  <si>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</si>
  <si>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Test9</t>
  </si>
  <si>
    <t>Test10</t>
  </si>
  <si>
    <t>Test11</t>
  </si>
  <si>
    <t>Test12</t>
  </si>
  <si>
    <t>Test13</t>
  </si>
  <si>
    <t>Test14</t>
  </si>
  <si>
    <t>Test15</t>
  </si>
  <si>
    <t>Test16</t>
  </si>
  <si>
    <t>Author</t>
  </si>
  <si>
    <t>Date</t>
  </si>
  <si>
    <t>Computer</t>
  </si>
  <si>
    <t>CPU Type</t>
  </si>
  <si>
    <t>CPU Cores-Speed</t>
  </si>
  <si>
    <t>roh@sgmco.cl</t>
  </si>
  <si>
    <t>i7-10750H </t>
  </si>
  <si>
    <t>Legion 7i</t>
  </si>
  <si>
    <t>(12c-2.7GHz)</t>
  </si>
  <si>
    <t>Notes</t>
  </si>
  <si>
    <t>i7-13700KF</t>
  </si>
  <si>
    <t>SLG</t>
  </si>
  <si>
    <t>(16c-5.4GHz)</t>
  </si>
  <si>
    <t>salvador.lopez.gutierrez@gmail.com</t>
  </si>
  <si>
    <t>OS</t>
  </si>
  <si>
    <t>macOS</t>
  </si>
  <si>
    <t>Win11</t>
  </si>
  <si>
    <t>i7-14700</t>
  </si>
  <si>
    <t>SA-Model5</t>
  </si>
  <si>
    <t>(20c-5.3 GHz)</t>
  </si>
  <si>
    <t>darce@elmontgomery.cl</t>
  </si>
  <si>
    <t>i9-9980HK </t>
  </si>
  <si>
    <t>Dev</t>
  </si>
  <si>
    <t>(8c-2.3 GHz)</t>
  </si>
  <si>
    <t>i9-14900KF</t>
  </si>
  <si>
    <t>Legion T7</t>
  </si>
  <si>
    <t>(24c-3.2 MHz)</t>
  </si>
  <si>
    <t>xiaomin.wang@slrconsulting.com</t>
  </si>
  <si>
    <t>Xeon E-2288G</t>
  </si>
  <si>
    <t>(8c-3.7GHz)</t>
  </si>
  <si>
    <t>Incomplete</t>
  </si>
  <si>
    <t>M1</t>
  </si>
  <si>
    <t xml:space="preserve">SGM001 </t>
  </si>
  <si>
    <t>(8c-3.2 GHz)</t>
  </si>
  <si>
    <t>Architechture</t>
  </si>
  <si>
    <t>x86</t>
  </si>
  <si>
    <t>ARM</t>
  </si>
  <si>
    <t>Manufacturer</t>
  </si>
  <si>
    <t>Intel</t>
  </si>
  <si>
    <t>Apple</t>
  </si>
  <si>
    <t>M2</t>
  </si>
  <si>
    <t>SGM005 </t>
  </si>
  <si>
    <t>(8c-3.49 GHz)</t>
  </si>
  <si>
    <t>M2 Pro </t>
  </si>
  <si>
    <t>WorkM2</t>
  </si>
  <si>
    <t>(12c-3.48GHz)</t>
  </si>
  <si>
    <t>Ryzen Threadripper 3990X </t>
  </si>
  <si>
    <t>ESI </t>
  </si>
  <si>
    <t>(64c-2.9Ghz)</t>
  </si>
  <si>
    <t>AMD</t>
  </si>
  <si>
    <t>jrumbaugh@groundwatermodels.com</t>
  </si>
  <si>
    <t>Computer type</t>
  </si>
  <si>
    <t>Desktop</t>
  </si>
  <si>
    <t>Mac Mini</t>
  </si>
  <si>
    <t>MacBook Pro Laptop</t>
  </si>
  <si>
    <t>Gaming Laptop</t>
  </si>
  <si>
    <t>Ryzen 9 5950x</t>
  </si>
  <si>
    <t>KOP</t>
  </si>
  <si>
    <t>(16c-4.9 GHz)</t>
  </si>
  <si>
    <t>Gaming Desktop</t>
  </si>
  <si>
    <t>fakoppli@uc.cl</t>
  </si>
  <si>
    <t>M3 Max </t>
  </si>
  <si>
    <t>WorkM3</t>
  </si>
  <si>
    <t>(16c-4.05 GHz)</t>
  </si>
  <si>
    <t>M4 </t>
  </si>
  <si>
    <t>SGM023</t>
  </si>
  <si>
    <t>(10c-4.51 GHz)</t>
  </si>
  <si>
    <t xml:space="preserve">M5 </t>
  </si>
  <si>
    <t>Ryzen 7 8845HS</t>
  </si>
  <si>
    <t>Beelink</t>
  </si>
  <si>
    <t>(8c-5.1 GHz)</t>
  </si>
  <si>
    <t>Deskop Mini Box</t>
  </si>
  <si>
    <t>Ryzen 7 2700 </t>
  </si>
  <si>
    <t>CPU overclocked by user</t>
  </si>
  <si>
    <t>CPU Cores</t>
  </si>
  <si>
    <t>XW Legion T7</t>
  </si>
  <si>
    <t>(10c-4.61GHz)</t>
  </si>
  <si>
    <t>Legion7i</t>
  </si>
  <si>
    <t>SGM001</t>
  </si>
  <si>
    <t>SGM005</t>
  </si>
  <si>
    <t>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</si>
</sst>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mmm/yyyy"/>
  </numFmts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rgb="FF073A6C"/>
      <name val="Arial"/>
      <family val="2"/>
    </font>
    <font>
      <b/>
      <sz val="9"/>
      <color rgb="FF800040"/>
      <name val="Arial"/>
      <family val="2"/>
    </font>
    <font>
      <b/>
      <sz val="9"/>
      <color rgb="FF8000FF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0"/>
      <color theme="2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10" fillId="15" borderId="0" xfId="0" applyFont="1" applyFill="1" applyAlignment="1">
      <alignment horizontal="center" vertical="center" wrapText="1"/>
    </xf>
    <xf numFmtId="0" fontId="12" fillId="0" borderId="0" xfId="1"/>
    <xf numFmtId="1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14" fillId="16" borderId="0" xfId="0" applyFont="1" applyFill="1" applyAlignment="1">
      <alignment horizontal="center" vertical="center" wrapText="1"/>
    </xf>
    <xf numFmtId="0" fontId="0" fillId="17" borderId="0" xfId="0" applyFill="1"/>
    <xf numFmtId="0" fontId="0" fillId="0" borderId="1" xfId="0" applyBorder="1" applyAlignment="1">
      <alignment horizontal="center"/>
    </xf>
    <xf numFmtId="0" fontId="12" fillId="0" borderId="1" xfId="1" applyBorder="1"/>
    <xf numFmtId="168" fontId="0" fillId="0" borderId="1" xfId="0" applyNumberFormat="1" applyBorder="1" applyAlignment="1">
      <alignment horizontal="center"/>
    </xf>
    <xf numFmtId="0" fontId="0" fillId="0" borderId="1" xfId="0" applyBorder="1"/>
    <xf numFmtId="0" fontId="0" fillId="17" borderId="1" xfId="0" applyFill="1" applyBorder="1"/>
    <xf numFmtId="0" fontId="12" fillId="0" borderId="0" xfId="1" applyBorder="1"/>
    <xf numFmtId="0" fontId="0" fillId="0" borderId="1" xfId="0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/>
    </xf>
    <xf numFmtId="0" fontId="3" fillId="19" borderId="2" xfId="0" applyFont="1" applyFill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top" wrapText="1"/>
    </xf>
    <xf numFmtId="2" fontId="2" fillId="13" borderId="0" xfId="0" applyNumberFormat="1" applyFont="1" applyFill="1" applyAlignment="1">
      <alignment horizontal="center" vertical="top" wrapText="1"/>
    </xf>
    <xf numFmtId="2" fontId="9" fillId="0" borderId="0" xfId="0" applyNumberFormat="1" applyFont="1" applyAlignment="1">
      <alignment horizontal="center" vertical="center" wrapText="1"/>
    </xf>
    <xf numFmtId="2" fontId="9" fillId="13" borderId="0" xfId="0" applyNumberFormat="1" applyFont="1" applyFill="1" applyAlignment="1">
      <alignment horizontal="center" vertical="center" wrapText="1"/>
    </xf>
    <xf numFmtId="2" fontId="10" fillId="15" borderId="0" xfId="0" applyNumberFormat="1" applyFont="1" applyFill="1" applyAlignment="1">
      <alignment horizontal="center" vertical="center" wrapText="1"/>
    </xf>
    <xf numFmtId="2" fontId="11" fillId="15" borderId="0" xfId="0" applyNumberFormat="1" applyFont="1" applyFill="1" applyAlignment="1">
      <alignment horizontal="center" vertical="top" wrapText="1"/>
    </xf>
    <xf numFmtId="2" fontId="2" fillId="0" borderId="0" xfId="0" applyNumberFormat="1" applyFont="1"/>
    <xf numFmtId="0" fontId="13" fillId="20" borderId="1" xfId="0" applyFont="1" applyFill="1" applyBorder="1" applyAlignment="1">
      <alignment horizontal="center"/>
    </xf>
    <xf numFmtId="0" fontId="13" fillId="20" borderId="1" xfId="0" applyFont="1" applyFill="1" applyBorder="1"/>
    <xf numFmtId="0" fontId="0" fillId="0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h@sgmco.cl" TargetMode="External"/><Relationship Id="rId13" Type="http://schemas.openxmlformats.org/officeDocument/2006/relationships/hyperlink" Target="mailto:roh@sgmco.cl" TargetMode="External"/><Relationship Id="rId3" Type="http://schemas.openxmlformats.org/officeDocument/2006/relationships/hyperlink" Target="mailto:roh@sgmco.cl" TargetMode="External"/><Relationship Id="rId7" Type="http://schemas.openxmlformats.org/officeDocument/2006/relationships/hyperlink" Target="mailto:roh@sgmco.cl" TargetMode="External"/><Relationship Id="rId12" Type="http://schemas.openxmlformats.org/officeDocument/2006/relationships/hyperlink" Target="mailto:roh@sgmco.cl" TargetMode="External"/><Relationship Id="rId2" Type="http://schemas.openxmlformats.org/officeDocument/2006/relationships/hyperlink" Target="mailto:salvador.lopez.gutierrez@gmail.com" TargetMode="External"/><Relationship Id="rId16" Type="http://schemas.openxmlformats.org/officeDocument/2006/relationships/hyperlink" Target="mailto:darce@elmontgomery.cl" TargetMode="External"/><Relationship Id="rId1" Type="http://schemas.openxmlformats.org/officeDocument/2006/relationships/hyperlink" Target="mailto:darce@elmontgomery.cl" TargetMode="External"/><Relationship Id="rId6" Type="http://schemas.openxmlformats.org/officeDocument/2006/relationships/hyperlink" Target="mailto:darce@elmontgomery.cl" TargetMode="External"/><Relationship Id="rId11" Type="http://schemas.openxmlformats.org/officeDocument/2006/relationships/hyperlink" Target="mailto:fakoppli@uc.cl" TargetMode="External"/><Relationship Id="rId5" Type="http://schemas.openxmlformats.org/officeDocument/2006/relationships/hyperlink" Target="mailto:xiaomin.wang@slrconsulting.com" TargetMode="External"/><Relationship Id="rId15" Type="http://schemas.openxmlformats.org/officeDocument/2006/relationships/hyperlink" Target="mailto:jrumbaugh@groundwatermodels.com" TargetMode="External"/><Relationship Id="rId10" Type="http://schemas.openxmlformats.org/officeDocument/2006/relationships/hyperlink" Target="mailto:jrumbaugh@groundwatermodels.com" TargetMode="External"/><Relationship Id="rId4" Type="http://schemas.openxmlformats.org/officeDocument/2006/relationships/hyperlink" Target="mailto:roh@sgmco.cl" TargetMode="External"/><Relationship Id="rId9" Type="http://schemas.openxmlformats.org/officeDocument/2006/relationships/hyperlink" Target="mailto:roh@sgmco.cl" TargetMode="External"/><Relationship Id="rId14" Type="http://schemas.openxmlformats.org/officeDocument/2006/relationships/hyperlink" Target="mailto:roh@sgmco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2FD8E-E16E-411F-A3B4-BAF43BD02B2F}">
  <dimension ref="A1:Q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 x14ac:dyDescent="0.15"/>
  <cols>
    <col min="1" max="1" width="12.1640625" style="2" customWidth="1"/>
    <col min="2" max="2" width="10.5" style="2" bestFit="1" customWidth="1"/>
    <col min="3" max="3" width="10.5" style="2" customWidth="1"/>
    <col min="4" max="4" width="10.83203125" style="2" bestFit="1" customWidth="1"/>
    <col min="5" max="5" width="10" style="2" bestFit="1" customWidth="1"/>
    <col min="6" max="6" width="11" style="2" bestFit="1" customWidth="1"/>
    <col min="7" max="7" width="11.33203125" style="2" bestFit="1" customWidth="1"/>
    <col min="8" max="8" width="10" style="2" bestFit="1" customWidth="1"/>
    <col min="9" max="9" width="10.83203125" style="2" bestFit="1" customWidth="1"/>
    <col min="10" max="10" width="11.33203125" style="2" bestFit="1" customWidth="1"/>
    <col min="11" max="12" width="11.6640625" style="2" customWidth="1"/>
    <col min="13" max="13" width="11.33203125" style="2" bestFit="1" customWidth="1"/>
    <col min="14" max="14" width="15.1640625" style="2" customWidth="1"/>
    <col min="15" max="15" width="17" style="2" customWidth="1"/>
    <col min="16" max="16" width="13.83203125" style="2" customWidth="1"/>
    <col min="17" max="17" width="21" style="2" bestFit="1" customWidth="1"/>
    <col min="18" max="16384" width="10.83203125" style="2"/>
  </cols>
  <sheetData>
    <row r="1" spans="1:17" ht="14" x14ac:dyDescent="0.15">
      <c r="A1" s="3" t="s">
        <v>26</v>
      </c>
      <c r="B1" s="4" t="s">
        <v>29</v>
      </c>
      <c r="C1" s="4" t="s">
        <v>33</v>
      </c>
      <c r="D1" s="5" t="s">
        <v>40</v>
      </c>
      <c r="E1" s="6" t="s">
        <v>44</v>
      </c>
      <c r="F1" s="5" t="s">
        <v>47</v>
      </c>
      <c r="G1" s="7" t="s">
        <v>51</v>
      </c>
      <c r="H1" s="8" t="s">
        <v>54</v>
      </c>
      <c r="I1" s="9" t="s">
        <v>63</v>
      </c>
      <c r="J1" s="10" t="s">
        <v>66</v>
      </c>
      <c r="K1" s="11" t="s">
        <v>84</v>
      </c>
      <c r="L1" s="12" t="s">
        <v>87</v>
      </c>
      <c r="M1" s="13" t="s">
        <v>90</v>
      </c>
      <c r="N1" s="14" t="s">
        <v>91</v>
      </c>
      <c r="O1" s="22" t="s">
        <v>3</v>
      </c>
      <c r="P1" s="15" t="s">
        <v>79</v>
      </c>
      <c r="Q1" s="16" t="s">
        <v>69</v>
      </c>
    </row>
    <row r="2" spans="1:17" ht="14" x14ac:dyDescent="0.15">
      <c r="A2" s="3" t="s">
        <v>25</v>
      </c>
      <c r="B2" s="4" t="s">
        <v>100</v>
      </c>
      <c r="C2" s="4" t="s">
        <v>34</v>
      </c>
      <c r="D2" s="5" t="s">
        <v>41</v>
      </c>
      <c r="E2" s="6" t="s">
        <v>45</v>
      </c>
      <c r="F2" s="5" t="s">
        <v>98</v>
      </c>
      <c r="G2" s="7" t="s">
        <v>4</v>
      </c>
      <c r="H2" s="8" t="s">
        <v>101</v>
      </c>
      <c r="I2" s="9" t="s">
        <v>102</v>
      </c>
      <c r="J2" s="10" t="s">
        <v>67</v>
      </c>
      <c r="K2" s="11" t="s">
        <v>85</v>
      </c>
      <c r="L2" s="12" t="s">
        <v>88</v>
      </c>
      <c r="M2" s="13" t="s">
        <v>1</v>
      </c>
      <c r="N2" s="14" t="s">
        <v>92</v>
      </c>
      <c r="O2" s="22" t="s">
        <v>4</v>
      </c>
      <c r="P2" s="15" t="s">
        <v>80</v>
      </c>
      <c r="Q2" s="16" t="s">
        <v>103</v>
      </c>
    </row>
    <row r="3" spans="1:17" ht="14" x14ac:dyDescent="0.15">
      <c r="A3" s="31" t="s">
        <v>97</v>
      </c>
      <c r="B3" s="32" t="s">
        <v>31</v>
      </c>
      <c r="C3" s="32" t="s">
        <v>35</v>
      </c>
      <c r="D3" s="33" t="s">
        <v>42</v>
      </c>
      <c r="E3" s="34" t="s">
        <v>46</v>
      </c>
      <c r="F3" s="33" t="s">
        <v>49</v>
      </c>
      <c r="G3" s="35" t="s">
        <v>52</v>
      </c>
      <c r="H3" s="36" t="s">
        <v>56</v>
      </c>
      <c r="I3" s="37" t="s">
        <v>65</v>
      </c>
      <c r="J3" s="38" t="s">
        <v>68</v>
      </c>
      <c r="K3" s="39" t="s">
        <v>86</v>
      </c>
      <c r="L3" s="40" t="s">
        <v>89</v>
      </c>
      <c r="M3" s="41" t="s">
        <v>99</v>
      </c>
      <c r="N3" s="42" t="s">
        <v>93</v>
      </c>
      <c r="O3" s="43" t="s">
        <v>5</v>
      </c>
      <c r="P3" s="44" t="s">
        <v>81</v>
      </c>
      <c r="Q3" s="45" t="s">
        <v>71</v>
      </c>
    </row>
    <row r="4" spans="1:17" ht="13" x14ac:dyDescent="0.15">
      <c r="A4" s="47" t="s">
        <v>0</v>
      </c>
      <c r="B4" s="46" t="s">
        <v>7</v>
      </c>
      <c r="C4" s="46" t="s">
        <v>8</v>
      </c>
      <c r="D4" s="46" t="s">
        <v>9</v>
      </c>
      <c r="E4" s="46" t="s">
        <v>10</v>
      </c>
      <c r="F4" s="46" t="s">
        <v>11</v>
      </c>
      <c r="G4" s="46" t="s">
        <v>12</v>
      </c>
      <c r="H4" s="46" t="s">
        <v>13</v>
      </c>
      <c r="I4" s="46" t="s">
        <v>14</v>
      </c>
      <c r="J4" s="46" t="s">
        <v>15</v>
      </c>
      <c r="K4" s="46" t="s">
        <v>16</v>
      </c>
      <c r="L4" s="46" t="s">
        <v>17</v>
      </c>
      <c r="M4" s="46" t="s">
        <v>18</v>
      </c>
      <c r="N4" s="46" t="s">
        <v>19</v>
      </c>
      <c r="O4" s="46" t="s">
        <v>20</v>
      </c>
      <c r="P4" s="46" t="s">
        <v>21</v>
      </c>
      <c r="Q4" s="46" t="s">
        <v>22</v>
      </c>
    </row>
    <row r="5" spans="1:17" s="54" customFormat="1" x14ac:dyDescent="0.15">
      <c r="A5" s="17">
        <v>1</v>
      </c>
      <c r="B5" s="50">
        <v>8.17</v>
      </c>
      <c r="C5" s="50">
        <v>4.66</v>
      </c>
      <c r="D5" s="50">
        <v>8.9</v>
      </c>
      <c r="E5" s="50">
        <v>8.1199999999999992</v>
      </c>
      <c r="F5" s="50">
        <v>6.74</v>
      </c>
      <c r="G5" s="50">
        <v>7.87</v>
      </c>
      <c r="H5" s="50">
        <v>8.32</v>
      </c>
      <c r="I5" s="50">
        <v>5.98</v>
      </c>
      <c r="J5" s="50">
        <v>6.11</v>
      </c>
      <c r="K5" s="50">
        <v>5.0999999999999996</v>
      </c>
      <c r="L5" s="50">
        <v>4.78</v>
      </c>
      <c r="M5" s="50">
        <v>4.5199999999999996</v>
      </c>
      <c r="N5" s="50">
        <v>5.3</v>
      </c>
      <c r="O5" s="50">
        <v>8.5299999999999994</v>
      </c>
      <c r="P5" s="50">
        <v>5.63</v>
      </c>
      <c r="Q5" s="50">
        <v>6.68</v>
      </c>
    </row>
    <row r="6" spans="1:17" s="54" customFormat="1" x14ac:dyDescent="0.15">
      <c r="A6" s="17">
        <v>2</v>
      </c>
      <c r="B6" s="51">
        <v>9.52</v>
      </c>
      <c r="C6" s="51">
        <v>5.19</v>
      </c>
      <c r="D6" s="51">
        <v>9.1</v>
      </c>
      <c r="E6" s="51">
        <v>9.3800000000000008</v>
      </c>
      <c r="F6" s="51">
        <v>7.17</v>
      </c>
      <c r="G6" s="51">
        <v>8.92</v>
      </c>
      <c r="H6" s="51">
        <v>8.73</v>
      </c>
      <c r="I6" s="51">
        <v>6.43</v>
      </c>
      <c r="J6" s="49">
        <v>6.25</v>
      </c>
      <c r="K6" s="51">
        <v>5.29</v>
      </c>
      <c r="L6" s="51">
        <v>5.15</v>
      </c>
      <c r="M6" s="51">
        <v>4.74</v>
      </c>
      <c r="N6" s="51">
        <v>5.35</v>
      </c>
      <c r="O6" s="51">
        <v>9.73</v>
      </c>
      <c r="P6" s="51">
        <v>6.41</v>
      </c>
      <c r="Q6" s="51">
        <v>7</v>
      </c>
    </row>
    <row r="7" spans="1:17" s="54" customFormat="1" x14ac:dyDescent="0.15">
      <c r="A7" s="17">
        <v>3</v>
      </c>
      <c r="B7" s="50">
        <v>12.6</v>
      </c>
      <c r="C7" s="50">
        <v>5.61</v>
      </c>
      <c r="D7" s="50">
        <v>9.89</v>
      </c>
      <c r="E7" s="50">
        <v>11.07</v>
      </c>
      <c r="F7" s="50">
        <v>7.44</v>
      </c>
      <c r="G7" s="48">
        <v>10.8</v>
      </c>
      <c r="H7" s="50">
        <v>9.27</v>
      </c>
      <c r="I7" s="50">
        <v>6.95</v>
      </c>
      <c r="J7" s="48">
        <v>6.4</v>
      </c>
      <c r="K7" s="50">
        <v>5.55</v>
      </c>
      <c r="L7" s="50">
        <v>5.36</v>
      </c>
      <c r="M7" s="50">
        <v>5.0199999999999996</v>
      </c>
      <c r="N7" s="50">
        <v>5.88</v>
      </c>
      <c r="O7" s="50">
        <v>10.71</v>
      </c>
      <c r="P7" s="50">
        <v>7.76</v>
      </c>
      <c r="Q7" s="50">
        <v>7.17</v>
      </c>
    </row>
    <row r="8" spans="1:17" s="54" customFormat="1" x14ac:dyDescent="0.15">
      <c r="A8" s="17">
        <v>4</v>
      </c>
      <c r="B8" s="51">
        <v>14.82</v>
      </c>
      <c r="C8" s="51">
        <v>6.13</v>
      </c>
      <c r="D8" s="51">
        <v>11.91</v>
      </c>
      <c r="E8" s="51">
        <v>13.97</v>
      </c>
      <c r="F8" s="51">
        <v>7.87</v>
      </c>
      <c r="G8" s="51">
        <v>13.56</v>
      </c>
      <c r="H8" s="51">
        <v>9.4700000000000006</v>
      </c>
      <c r="I8" s="51">
        <v>7.35</v>
      </c>
      <c r="J8" s="49">
        <v>6.48</v>
      </c>
      <c r="K8" s="51">
        <v>5.67</v>
      </c>
      <c r="L8" s="51">
        <v>5.64</v>
      </c>
      <c r="M8" s="51">
        <v>5.35</v>
      </c>
      <c r="N8" s="51">
        <v>6.67</v>
      </c>
      <c r="O8" s="51">
        <v>12.86</v>
      </c>
      <c r="P8" s="51">
        <v>9.99</v>
      </c>
      <c r="Q8" s="51">
        <v>7.32</v>
      </c>
    </row>
    <row r="9" spans="1:17" s="54" customFormat="1" x14ac:dyDescent="0.15">
      <c r="A9" s="17">
        <v>5</v>
      </c>
      <c r="B9" s="50">
        <v>18</v>
      </c>
      <c r="C9" s="50">
        <v>6.67</v>
      </c>
      <c r="D9" s="50">
        <v>12.69</v>
      </c>
      <c r="E9" s="50">
        <v>17.579999999999998</v>
      </c>
      <c r="F9" s="50">
        <v>8.5299999999999994</v>
      </c>
      <c r="G9" s="48">
        <v>15.79</v>
      </c>
      <c r="H9" s="50">
        <v>10.78</v>
      </c>
      <c r="I9" s="50">
        <v>8.4</v>
      </c>
      <c r="J9" s="48">
        <v>6.75</v>
      </c>
      <c r="K9" s="50">
        <v>5.82</v>
      </c>
      <c r="L9" s="50">
        <v>6.21</v>
      </c>
      <c r="M9" s="50">
        <v>5.83</v>
      </c>
      <c r="N9" s="50">
        <v>7.62</v>
      </c>
      <c r="O9" s="50">
        <v>14.65</v>
      </c>
      <c r="P9" s="50">
        <v>12.91</v>
      </c>
      <c r="Q9" s="50">
        <v>7.38</v>
      </c>
    </row>
    <row r="10" spans="1:17" s="54" customFormat="1" x14ac:dyDescent="0.15">
      <c r="A10" s="17">
        <v>6</v>
      </c>
      <c r="B10" s="51">
        <v>21.23</v>
      </c>
      <c r="C10" s="51">
        <v>7.29</v>
      </c>
      <c r="D10" s="51">
        <v>15.07</v>
      </c>
      <c r="E10" s="51">
        <v>21</v>
      </c>
      <c r="F10" s="51">
        <v>9.26</v>
      </c>
      <c r="G10" s="49"/>
      <c r="H10" s="51">
        <v>11.82</v>
      </c>
      <c r="I10" s="51">
        <v>9.23</v>
      </c>
      <c r="J10" s="49">
        <v>6.9</v>
      </c>
      <c r="K10" s="51">
        <v>5.81</v>
      </c>
      <c r="L10" s="51">
        <v>6.76</v>
      </c>
      <c r="M10" s="51">
        <v>6.28</v>
      </c>
      <c r="N10" s="51">
        <v>9.17</v>
      </c>
      <c r="O10" s="51">
        <v>17.47</v>
      </c>
      <c r="P10" s="51">
        <v>15.77</v>
      </c>
      <c r="Q10" s="51">
        <v>7.58</v>
      </c>
    </row>
    <row r="11" spans="1:17" s="54" customFormat="1" x14ac:dyDescent="0.15">
      <c r="A11" s="18">
        <v>7</v>
      </c>
      <c r="B11" s="52">
        <v>24.48</v>
      </c>
      <c r="C11" s="52">
        <v>7.95</v>
      </c>
      <c r="D11" s="52">
        <v>15.74</v>
      </c>
      <c r="E11" s="52">
        <v>24.9</v>
      </c>
      <c r="F11" s="52">
        <v>10.15</v>
      </c>
      <c r="G11" s="52">
        <v>24.54</v>
      </c>
      <c r="H11" s="52">
        <v>13.27</v>
      </c>
      <c r="I11" s="52">
        <v>10.47</v>
      </c>
      <c r="J11" s="53">
        <v>7.15</v>
      </c>
      <c r="K11" s="52">
        <v>5.85</v>
      </c>
      <c r="L11" s="52">
        <v>7.33</v>
      </c>
      <c r="M11" s="52">
        <v>6.85</v>
      </c>
      <c r="N11" s="52">
        <v>10.92</v>
      </c>
      <c r="O11" s="52">
        <v>19.899999999999999</v>
      </c>
      <c r="P11" s="52">
        <v>18.989999999999998</v>
      </c>
      <c r="Q11" s="52">
        <v>7.83</v>
      </c>
    </row>
    <row r="12" spans="1:17" s="54" customFormat="1" x14ac:dyDescent="0.15">
      <c r="A12" s="17">
        <v>8</v>
      </c>
      <c r="B12" s="51">
        <v>27.87</v>
      </c>
      <c r="C12" s="51">
        <v>8.91</v>
      </c>
      <c r="D12" s="51">
        <v>18.100000000000001</v>
      </c>
      <c r="E12" s="51">
        <v>27.77</v>
      </c>
      <c r="F12" s="51">
        <v>11.38</v>
      </c>
      <c r="G12" s="51">
        <v>27.48</v>
      </c>
      <c r="H12" s="51">
        <v>14.52</v>
      </c>
      <c r="I12" s="51">
        <v>11.33</v>
      </c>
      <c r="J12" s="49">
        <v>7.35</v>
      </c>
      <c r="K12" s="51">
        <v>6.08</v>
      </c>
      <c r="L12" s="51">
        <v>7.89</v>
      </c>
      <c r="M12" s="51">
        <v>7.31</v>
      </c>
      <c r="N12" s="51">
        <v>12.27</v>
      </c>
      <c r="O12" s="51">
        <v>23.73</v>
      </c>
      <c r="P12" s="51">
        <v>22.14</v>
      </c>
      <c r="Q12" s="51">
        <v>8.18</v>
      </c>
    </row>
    <row r="13" spans="1:17" s="54" customFormat="1" x14ac:dyDescent="0.15">
      <c r="A13" s="17">
        <v>9</v>
      </c>
      <c r="B13" s="50">
        <v>31.13</v>
      </c>
      <c r="C13" s="50">
        <v>10.210000000000001</v>
      </c>
      <c r="D13" s="50">
        <v>19.43</v>
      </c>
      <c r="E13" s="50">
        <v>31.43</v>
      </c>
      <c r="F13" s="50">
        <v>12.62</v>
      </c>
      <c r="G13" s="48"/>
      <c r="H13" s="50">
        <v>16.32</v>
      </c>
      <c r="I13" s="50">
        <v>12.75</v>
      </c>
      <c r="J13" s="50">
        <v>7.81</v>
      </c>
      <c r="K13" s="50">
        <v>6.26</v>
      </c>
      <c r="L13" s="50">
        <v>8.58</v>
      </c>
      <c r="M13" s="50">
        <v>7.85</v>
      </c>
      <c r="N13" s="50">
        <v>13.5</v>
      </c>
      <c r="O13" s="50">
        <v>27.57</v>
      </c>
      <c r="P13" s="50">
        <v>18.989999999999998</v>
      </c>
      <c r="Q13" s="50">
        <v>8.5500000000000007</v>
      </c>
    </row>
    <row r="14" spans="1:17" s="54" customFormat="1" x14ac:dyDescent="0.15">
      <c r="A14" s="17">
        <v>10</v>
      </c>
      <c r="B14" s="51">
        <v>34.5</v>
      </c>
      <c r="C14" s="51">
        <v>11.38</v>
      </c>
      <c r="D14" s="51">
        <v>21.34</v>
      </c>
      <c r="E14" s="51">
        <v>36.549999999999997</v>
      </c>
      <c r="F14" s="51">
        <v>13.94</v>
      </c>
      <c r="G14" s="49"/>
      <c r="H14" s="51">
        <v>18.13</v>
      </c>
      <c r="I14" s="51">
        <v>14.13</v>
      </c>
      <c r="J14" s="51">
        <v>8.24</v>
      </c>
      <c r="K14" s="51">
        <v>6.75</v>
      </c>
      <c r="L14" s="51">
        <v>9.34</v>
      </c>
      <c r="M14" s="51">
        <v>8.36</v>
      </c>
      <c r="N14" s="51">
        <v>15</v>
      </c>
      <c r="O14" s="51">
        <v>29.96</v>
      </c>
      <c r="P14" s="51">
        <v>21.38</v>
      </c>
      <c r="Q14" s="51">
        <v>8.9499999999999993</v>
      </c>
    </row>
    <row r="15" spans="1:17" s="54" customFormat="1" x14ac:dyDescent="0.15">
      <c r="A15" s="17">
        <v>11</v>
      </c>
      <c r="B15" s="50">
        <v>36.72</v>
      </c>
      <c r="C15" s="50">
        <v>12.69</v>
      </c>
      <c r="D15" s="48">
        <v>24.22</v>
      </c>
      <c r="E15" s="48">
        <f>40+51.306/60</f>
        <v>40.8551</v>
      </c>
      <c r="F15" s="48">
        <v>15.65</v>
      </c>
      <c r="G15" s="50">
        <v>37.51</v>
      </c>
      <c r="H15" s="50">
        <v>19.600000000000001</v>
      </c>
      <c r="I15" s="50">
        <v>15.45</v>
      </c>
      <c r="J15" s="50">
        <v>8.81</v>
      </c>
      <c r="K15" s="50">
        <v>7.43</v>
      </c>
      <c r="L15" s="50">
        <v>10.27</v>
      </c>
      <c r="M15" s="50">
        <v>9.26</v>
      </c>
      <c r="N15" s="50">
        <v>16.5</v>
      </c>
      <c r="O15" s="50">
        <v>35.200000000000003</v>
      </c>
      <c r="P15" s="50">
        <v>25.2</v>
      </c>
      <c r="Q15" s="50">
        <v>9.3800000000000008</v>
      </c>
    </row>
    <row r="16" spans="1:17" s="54" customFormat="1" x14ac:dyDescent="0.15">
      <c r="A16" s="17">
        <v>12</v>
      </c>
      <c r="B16" s="51">
        <v>38.28</v>
      </c>
      <c r="C16" s="51">
        <v>13.97</v>
      </c>
      <c r="D16" s="51">
        <v>29.33</v>
      </c>
      <c r="E16" s="49">
        <f>45+55.762/60</f>
        <v>45.929366666666667</v>
      </c>
      <c r="F16" s="51">
        <v>17.52</v>
      </c>
      <c r="G16" s="51">
        <v>41.33</v>
      </c>
      <c r="H16" s="51">
        <v>21.43</v>
      </c>
      <c r="I16" s="51">
        <v>16.78</v>
      </c>
      <c r="J16" s="51">
        <v>9.74</v>
      </c>
      <c r="K16" s="51">
        <v>7.9</v>
      </c>
      <c r="L16" s="51">
        <v>11.24</v>
      </c>
      <c r="M16" s="51">
        <v>10.17</v>
      </c>
      <c r="N16" s="51">
        <v>18.170000000000002</v>
      </c>
      <c r="O16" s="51">
        <v>37.03</v>
      </c>
      <c r="P16" s="51">
        <v>29.33</v>
      </c>
      <c r="Q16" s="51">
        <v>10.050000000000001</v>
      </c>
    </row>
    <row r="17" spans="1:17" s="54" customFormat="1" x14ac:dyDescent="0.15">
      <c r="A17" s="17">
        <v>13</v>
      </c>
      <c r="B17" s="50">
        <v>42.8</v>
      </c>
      <c r="C17" s="50">
        <v>15.44</v>
      </c>
      <c r="D17" s="48">
        <v>32.799999999999997</v>
      </c>
      <c r="E17" s="48">
        <f>52+10.75/60</f>
        <v>52.179166666666667</v>
      </c>
      <c r="F17" s="48">
        <v>19.29</v>
      </c>
      <c r="G17" s="48"/>
      <c r="H17" s="50">
        <v>23.42</v>
      </c>
      <c r="I17" s="50">
        <v>18.149999999999999</v>
      </c>
      <c r="J17" s="50">
        <v>10.33</v>
      </c>
      <c r="K17" s="50">
        <v>8.4499999999999993</v>
      </c>
      <c r="L17" s="50">
        <v>12.2</v>
      </c>
      <c r="M17" s="50">
        <v>11</v>
      </c>
      <c r="N17" s="50">
        <v>20.329999999999998</v>
      </c>
      <c r="O17" s="50">
        <v>41.27</v>
      </c>
      <c r="P17" s="50">
        <v>33.369999999999997</v>
      </c>
      <c r="Q17" s="50">
        <v>10.72</v>
      </c>
    </row>
    <row r="18" spans="1:17" s="54" customFormat="1" x14ac:dyDescent="0.15">
      <c r="A18" s="17">
        <v>14</v>
      </c>
      <c r="B18" s="51">
        <v>45.78</v>
      </c>
      <c r="C18" s="51">
        <v>16.64</v>
      </c>
      <c r="D18" s="51">
        <v>35.47</v>
      </c>
      <c r="E18" s="49">
        <f>54+46.78/60</f>
        <v>54.779666666666664</v>
      </c>
      <c r="F18" s="51">
        <v>20.65</v>
      </c>
      <c r="G18" s="49">
        <v>47.49</v>
      </c>
      <c r="H18" s="51">
        <v>24.9</v>
      </c>
      <c r="I18" s="51">
        <v>19.73</v>
      </c>
      <c r="J18" s="51">
        <v>11.06</v>
      </c>
      <c r="K18" s="51">
        <v>9.11</v>
      </c>
      <c r="L18" s="51">
        <v>13.18</v>
      </c>
      <c r="M18" s="51">
        <v>11.56</v>
      </c>
      <c r="N18" s="51">
        <v>22</v>
      </c>
      <c r="O18" s="51">
        <v>44.78</v>
      </c>
      <c r="P18" s="51">
        <v>36.93</v>
      </c>
      <c r="Q18" s="51">
        <v>11.23</v>
      </c>
    </row>
    <row r="19" spans="1:17" s="54" customFormat="1" x14ac:dyDescent="0.15">
      <c r="A19" s="17">
        <v>15</v>
      </c>
      <c r="B19" s="50">
        <v>52.34</v>
      </c>
      <c r="C19" s="50">
        <v>17.809999999999999</v>
      </c>
      <c r="D19" s="48">
        <v>38.25</v>
      </c>
      <c r="E19" s="48">
        <f>59+15.13/60</f>
        <v>59.252166666666668</v>
      </c>
      <c r="F19" s="48">
        <v>22.58</v>
      </c>
      <c r="G19" s="50">
        <v>50.48</v>
      </c>
      <c r="H19" s="50">
        <v>26.57</v>
      </c>
      <c r="I19" s="50">
        <v>20.9</v>
      </c>
      <c r="J19" s="50">
        <v>11.71</v>
      </c>
      <c r="K19" s="50">
        <v>9.7799999999999994</v>
      </c>
      <c r="L19" s="50">
        <v>14.1</v>
      </c>
      <c r="M19" s="50">
        <v>12.8</v>
      </c>
      <c r="N19" s="50">
        <v>24.08</v>
      </c>
      <c r="O19" s="50">
        <v>47.97</v>
      </c>
      <c r="P19" s="50">
        <v>40.25</v>
      </c>
      <c r="Q19" s="50">
        <v>11.95</v>
      </c>
    </row>
    <row r="20" spans="1:17" s="54" customFormat="1" x14ac:dyDescent="0.15">
      <c r="A20" s="17">
        <v>16</v>
      </c>
      <c r="B20" s="51">
        <v>54.36</v>
      </c>
      <c r="C20" s="51">
        <v>19.079999999999998</v>
      </c>
      <c r="D20" s="51">
        <v>40.98</v>
      </c>
      <c r="E20" s="51">
        <v>61.83</v>
      </c>
      <c r="F20" s="51">
        <v>24.1</v>
      </c>
      <c r="G20" s="51">
        <v>55.67</v>
      </c>
      <c r="H20" s="51">
        <v>28.88</v>
      </c>
      <c r="I20" s="51">
        <v>21.98</v>
      </c>
      <c r="J20" s="51">
        <v>12.5</v>
      </c>
      <c r="K20" s="51">
        <v>10.050000000000001</v>
      </c>
      <c r="L20" s="51">
        <v>15.06</v>
      </c>
      <c r="M20" s="51">
        <v>13.82</v>
      </c>
      <c r="N20" s="51">
        <v>27.17</v>
      </c>
      <c r="O20" s="51">
        <v>51.21</v>
      </c>
      <c r="P20" s="51">
        <v>43.05</v>
      </c>
      <c r="Q20" s="51">
        <v>12.93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3F36-3487-B546-9296-EEEA68671449}">
  <dimension ref="A1:K20"/>
  <sheetViews>
    <sheetView zoomScale="150" zoomScaleNormal="150" workbookViewId="0">
      <selection activeCell="B21" sqref="B21"/>
    </sheetView>
  </sheetViews>
  <sheetFormatPr baseColWidth="10" defaultRowHeight="15" x14ac:dyDescent="0.2"/>
  <cols>
    <col min="2" max="2" width="31.1640625" customWidth="1"/>
    <col min="3" max="3" width="14.5" style="21" customWidth="1"/>
    <col min="4" max="4" width="14.5" customWidth="1"/>
    <col min="5" max="5" width="21" bestFit="1" customWidth="1"/>
    <col min="6" max="6" width="12.33203125" customWidth="1"/>
    <col min="7" max="9" width="18.33203125" customWidth="1"/>
    <col min="10" max="10" width="21.6640625" customWidth="1"/>
  </cols>
  <sheetData>
    <row r="1" spans="1:11" x14ac:dyDescent="0.2">
      <c r="A1" s="55" t="s">
        <v>6</v>
      </c>
      <c r="B1" s="56" t="s">
        <v>23</v>
      </c>
      <c r="C1" s="55" t="s">
        <v>24</v>
      </c>
      <c r="D1" s="55" t="s">
        <v>37</v>
      </c>
      <c r="E1" s="55" t="s">
        <v>26</v>
      </c>
      <c r="F1" s="55" t="s">
        <v>25</v>
      </c>
      <c r="G1" s="55" t="s">
        <v>27</v>
      </c>
      <c r="H1" s="55" t="s">
        <v>57</v>
      </c>
      <c r="I1" s="55" t="s">
        <v>60</v>
      </c>
      <c r="J1" s="55" t="s">
        <v>74</v>
      </c>
      <c r="K1" s="55" t="s">
        <v>32</v>
      </c>
    </row>
    <row r="2" spans="1:11" x14ac:dyDescent="0.2">
      <c r="A2" s="1" t="s">
        <v>7</v>
      </c>
      <c r="B2" s="19" t="s">
        <v>28</v>
      </c>
      <c r="C2" s="21">
        <v>44927</v>
      </c>
      <c r="D2" s="20" t="s">
        <v>38</v>
      </c>
      <c r="E2" t="s">
        <v>29</v>
      </c>
      <c r="F2" t="s">
        <v>30</v>
      </c>
      <c r="G2" t="s">
        <v>31</v>
      </c>
      <c r="H2" s="23" t="s">
        <v>58</v>
      </c>
      <c r="I2" t="s">
        <v>61</v>
      </c>
      <c r="J2" t="s">
        <v>78</v>
      </c>
    </row>
    <row r="3" spans="1:11" x14ac:dyDescent="0.2">
      <c r="A3" s="1" t="s">
        <v>8</v>
      </c>
      <c r="B3" s="19" t="s">
        <v>36</v>
      </c>
      <c r="C3" s="21">
        <v>45962</v>
      </c>
      <c r="D3" s="1" t="s">
        <v>39</v>
      </c>
      <c r="E3" t="s">
        <v>33</v>
      </c>
      <c r="F3" t="s">
        <v>34</v>
      </c>
      <c r="G3" t="s">
        <v>35</v>
      </c>
      <c r="H3" s="23" t="s">
        <v>58</v>
      </c>
      <c r="I3" t="s">
        <v>61</v>
      </c>
      <c r="J3" t="s">
        <v>75</v>
      </c>
    </row>
    <row r="4" spans="1:11" x14ac:dyDescent="0.2">
      <c r="A4" s="1" t="s">
        <v>9</v>
      </c>
      <c r="B4" s="19" t="s">
        <v>43</v>
      </c>
      <c r="C4" s="21">
        <v>45870</v>
      </c>
      <c r="D4" s="1" t="s">
        <v>39</v>
      </c>
      <c r="E4" t="s">
        <v>40</v>
      </c>
      <c r="F4" t="s">
        <v>41</v>
      </c>
      <c r="G4" t="s">
        <v>42</v>
      </c>
      <c r="H4" s="23" t="s">
        <v>58</v>
      </c>
      <c r="I4" t="s">
        <v>61</v>
      </c>
      <c r="J4" t="s">
        <v>75</v>
      </c>
    </row>
    <row r="5" spans="1:11" x14ac:dyDescent="0.2">
      <c r="A5" s="1" t="s">
        <v>10</v>
      </c>
      <c r="B5" s="19" t="s">
        <v>28</v>
      </c>
      <c r="C5" s="21">
        <v>44927</v>
      </c>
      <c r="D5" s="1" t="s">
        <v>38</v>
      </c>
      <c r="E5" t="s">
        <v>44</v>
      </c>
      <c r="F5" t="s">
        <v>45</v>
      </c>
      <c r="G5" t="s">
        <v>46</v>
      </c>
      <c r="H5" s="23" t="s">
        <v>58</v>
      </c>
      <c r="I5" t="s">
        <v>61</v>
      </c>
      <c r="J5" t="s">
        <v>77</v>
      </c>
    </row>
    <row r="6" spans="1:11" x14ac:dyDescent="0.2">
      <c r="A6" s="1" t="s">
        <v>11</v>
      </c>
      <c r="B6" s="19" t="s">
        <v>50</v>
      </c>
      <c r="C6" s="21">
        <v>45931</v>
      </c>
      <c r="D6" s="1" t="s">
        <v>39</v>
      </c>
      <c r="E6" t="s">
        <v>47</v>
      </c>
      <c r="F6" t="s">
        <v>48</v>
      </c>
      <c r="G6" t="s">
        <v>49</v>
      </c>
      <c r="H6" s="23" t="s">
        <v>58</v>
      </c>
      <c r="I6" t="s">
        <v>61</v>
      </c>
      <c r="J6" t="s">
        <v>78</v>
      </c>
    </row>
    <row r="7" spans="1:11" s="27" customFormat="1" x14ac:dyDescent="0.2">
      <c r="A7" s="24" t="s">
        <v>12</v>
      </c>
      <c r="B7" s="25" t="s">
        <v>43</v>
      </c>
      <c r="C7" s="26">
        <v>45870</v>
      </c>
      <c r="D7" s="24" t="s">
        <v>39</v>
      </c>
      <c r="E7" s="27" t="s">
        <v>51</v>
      </c>
      <c r="F7" s="27" t="s">
        <v>4</v>
      </c>
      <c r="G7" s="27" t="s">
        <v>52</v>
      </c>
      <c r="H7" s="28" t="s">
        <v>58</v>
      </c>
      <c r="I7" s="27" t="s">
        <v>61</v>
      </c>
      <c r="J7" s="27" t="s">
        <v>75</v>
      </c>
      <c r="K7" s="27" t="s">
        <v>53</v>
      </c>
    </row>
    <row r="8" spans="1:11" x14ac:dyDescent="0.2">
      <c r="A8" s="1" t="s">
        <v>13</v>
      </c>
      <c r="B8" s="19" t="s">
        <v>28</v>
      </c>
      <c r="C8" s="21">
        <v>44927</v>
      </c>
      <c r="D8" s="1" t="s">
        <v>38</v>
      </c>
      <c r="E8" t="s">
        <v>54</v>
      </c>
      <c r="F8" t="s">
        <v>55</v>
      </c>
      <c r="G8" t="s">
        <v>56</v>
      </c>
      <c r="H8" t="s">
        <v>59</v>
      </c>
      <c r="I8" t="s">
        <v>62</v>
      </c>
      <c r="J8" t="s">
        <v>76</v>
      </c>
    </row>
    <row r="9" spans="1:11" x14ac:dyDescent="0.2">
      <c r="A9" s="1" t="s">
        <v>14</v>
      </c>
      <c r="B9" s="19" t="s">
        <v>28</v>
      </c>
      <c r="C9" s="21">
        <v>45047</v>
      </c>
      <c r="D9" s="1" t="s">
        <v>38</v>
      </c>
      <c r="E9" t="s">
        <v>63</v>
      </c>
      <c r="F9" t="s">
        <v>64</v>
      </c>
      <c r="G9" t="s">
        <v>65</v>
      </c>
      <c r="H9" t="s">
        <v>59</v>
      </c>
      <c r="I9" t="s">
        <v>62</v>
      </c>
      <c r="J9" t="s">
        <v>76</v>
      </c>
    </row>
    <row r="10" spans="1:11" x14ac:dyDescent="0.2">
      <c r="A10" s="1" t="s">
        <v>15</v>
      </c>
      <c r="B10" s="19" t="s">
        <v>28</v>
      </c>
      <c r="C10" s="21">
        <v>45170</v>
      </c>
      <c r="D10" s="1" t="s">
        <v>38</v>
      </c>
      <c r="E10" t="s">
        <v>66</v>
      </c>
      <c r="F10" t="s">
        <v>67</v>
      </c>
      <c r="G10" t="s">
        <v>68</v>
      </c>
      <c r="H10" t="s">
        <v>59</v>
      </c>
      <c r="I10" t="s">
        <v>62</v>
      </c>
      <c r="J10" t="s">
        <v>77</v>
      </c>
    </row>
    <row r="11" spans="1:11" x14ac:dyDescent="0.2">
      <c r="A11" s="1" t="s">
        <v>16</v>
      </c>
      <c r="B11" s="19" t="s">
        <v>28</v>
      </c>
      <c r="C11" s="21">
        <v>45444</v>
      </c>
      <c r="D11" s="1" t="s">
        <v>38</v>
      </c>
      <c r="E11" t="s">
        <v>84</v>
      </c>
      <c r="F11" t="s">
        <v>85</v>
      </c>
      <c r="G11" t="s">
        <v>86</v>
      </c>
      <c r="H11" t="s">
        <v>59</v>
      </c>
      <c r="I11" t="s">
        <v>62</v>
      </c>
      <c r="J11" t="s">
        <v>77</v>
      </c>
    </row>
    <row r="12" spans="1:11" x14ac:dyDescent="0.2">
      <c r="A12" s="1" t="s">
        <v>17</v>
      </c>
      <c r="B12" s="19" t="s">
        <v>28</v>
      </c>
      <c r="C12" s="21">
        <v>45627</v>
      </c>
      <c r="D12" s="1" t="s">
        <v>38</v>
      </c>
      <c r="E12" t="s">
        <v>87</v>
      </c>
      <c r="F12" t="s">
        <v>88</v>
      </c>
      <c r="G12" t="s">
        <v>89</v>
      </c>
      <c r="H12" t="s">
        <v>59</v>
      </c>
      <c r="I12" t="s">
        <v>62</v>
      </c>
      <c r="J12" t="s">
        <v>76</v>
      </c>
    </row>
    <row r="13" spans="1:11" ht="16" x14ac:dyDescent="0.2">
      <c r="A13" s="24" t="s">
        <v>18</v>
      </c>
      <c r="B13" s="25" t="s">
        <v>28</v>
      </c>
      <c r="C13" s="26">
        <v>45962</v>
      </c>
      <c r="D13" s="24" t="s">
        <v>38</v>
      </c>
      <c r="E13" s="30" t="s">
        <v>90</v>
      </c>
      <c r="F13" s="27" t="s">
        <v>1</v>
      </c>
      <c r="G13" s="27" t="s">
        <v>2</v>
      </c>
      <c r="H13" s="27" t="s">
        <v>59</v>
      </c>
      <c r="I13" s="27" t="s">
        <v>62</v>
      </c>
      <c r="J13" s="27" t="s">
        <v>77</v>
      </c>
      <c r="K13" s="27"/>
    </row>
    <row r="14" spans="1:11" x14ac:dyDescent="0.2">
      <c r="A14" s="57" t="s">
        <v>19</v>
      </c>
      <c r="B14" s="19" t="s">
        <v>73</v>
      </c>
      <c r="C14" s="21">
        <v>45627</v>
      </c>
      <c r="D14" s="1" t="s">
        <v>39</v>
      </c>
      <c r="E14" t="s">
        <v>91</v>
      </c>
      <c r="F14" t="s">
        <v>92</v>
      </c>
      <c r="G14" t="s">
        <v>93</v>
      </c>
      <c r="H14" t="s">
        <v>58</v>
      </c>
      <c r="I14" t="s">
        <v>72</v>
      </c>
      <c r="J14" t="s">
        <v>94</v>
      </c>
    </row>
    <row r="15" spans="1:11" x14ac:dyDescent="0.2">
      <c r="A15" s="57" t="s">
        <v>20</v>
      </c>
      <c r="B15" s="29" t="s">
        <v>43</v>
      </c>
      <c r="C15" s="21">
        <v>45505</v>
      </c>
      <c r="D15" s="1" t="s">
        <v>39</v>
      </c>
      <c r="E15" t="s">
        <v>95</v>
      </c>
      <c r="F15" t="s">
        <v>4</v>
      </c>
      <c r="G15" t="s">
        <v>5</v>
      </c>
      <c r="H15" t="s">
        <v>58</v>
      </c>
      <c r="I15" t="s">
        <v>72</v>
      </c>
      <c r="J15" t="s">
        <v>96</v>
      </c>
    </row>
    <row r="16" spans="1:11" x14ac:dyDescent="0.2">
      <c r="A16" s="57" t="s">
        <v>21</v>
      </c>
      <c r="B16" s="19" t="s">
        <v>83</v>
      </c>
      <c r="C16" s="21">
        <v>45444</v>
      </c>
      <c r="D16" s="1" t="s">
        <v>39</v>
      </c>
      <c r="E16" t="s">
        <v>79</v>
      </c>
      <c r="F16" t="s">
        <v>80</v>
      </c>
      <c r="G16" t="s">
        <v>81</v>
      </c>
      <c r="H16" t="s">
        <v>58</v>
      </c>
      <c r="I16" t="s">
        <v>72</v>
      </c>
      <c r="J16" t="s">
        <v>82</v>
      </c>
    </row>
    <row r="17" spans="1:10" x14ac:dyDescent="0.2">
      <c r="A17" s="57" t="s">
        <v>22</v>
      </c>
      <c r="B17" s="19" t="s">
        <v>73</v>
      </c>
      <c r="C17" s="21">
        <v>45200</v>
      </c>
      <c r="D17" s="1" t="s">
        <v>39</v>
      </c>
      <c r="E17" t="s">
        <v>69</v>
      </c>
      <c r="F17" t="s">
        <v>70</v>
      </c>
      <c r="G17" t="s">
        <v>71</v>
      </c>
      <c r="H17" t="s">
        <v>58</v>
      </c>
      <c r="I17" t="s">
        <v>72</v>
      </c>
      <c r="J17" t="s">
        <v>75</v>
      </c>
    </row>
    <row r="18" spans="1:10" x14ac:dyDescent="0.2">
      <c r="A18" s="1"/>
      <c r="D18" s="1"/>
    </row>
    <row r="19" spans="1:10" x14ac:dyDescent="0.2">
      <c r="A19" s="1"/>
      <c r="D19" s="1"/>
    </row>
    <row r="20" spans="1:10" x14ac:dyDescent="0.2">
      <c r="A20" s="1"/>
    </row>
  </sheetData>
  <hyperlinks>
    <hyperlink ref="B4" r:id="rId1" xr:uid="{BCB733C0-56D8-E747-A1C4-6899025C34CE}"/>
    <hyperlink ref="B3" r:id="rId2" xr:uid="{9E5B4C54-930F-AC42-8BF0-06652C79E205}"/>
    <hyperlink ref="B2" r:id="rId3" xr:uid="{A4010FAE-9276-5D42-8AA7-3342FC6E73AB}"/>
    <hyperlink ref="B5" r:id="rId4" xr:uid="{C0602EF8-3B86-FC42-ADD5-A269E8D1562B}"/>
    <hyperlink ref="B6" r:id="rId5" xr:uid="{397F1A18-5E08-9F4E-8627-E9F66F1B1453}"/>
    <hyperlink ref="B7" r:id="rId6" xr:uid="{4C7911D9-5C4F-3B4C-9B85-C82E058A4AC2}"/>
    <hyperlink ref="B8" r:id="rId7" xr:uid="{F38FB2E9-E7AA-BA4C-98CC-A9A8FF75ED1C}"/>
    <hyperlink ref="B9" r:id="rId8" xr:uid="{14E010BC-19C6-044B-8450-0A6D135CE748}"/>
    <hyperlink ref="B10" r:id="rId9" xr:uid="{AF4B91CD-9C07-C94E-A28B-E9C6C394A213}"/>
    <hyperlink ref="B17" r:id="rId10" xr:uid="{8F6A1A98-4DDE-0244-91E8-C43EA3753D1D}"/>
    <hyperlink ref="B16" r:id="rId11" xr:uid="{5993C115-0871-DC42-810B-95228B03A0C2}"/>
    <hyperlink ref="B11" r:id="rId12" xr:uid="{333CE8AD-BFE6-9141-B65F-3FAAF6CF9D97}"/>
    <hyperlink ref="B12" r:id="rId13" xr:uid="{42D335D0-A0AE-D944-84E4-7BEBCA364F7E}"/>
    <hyperlink ref="B13" r:id="rId14" xr:uid="{607AD7DF-99FA-6C41-ACA7-31657909D4C7}"/>
    <hyperlink ref="B14" r:id="rId15" xr:uid="{9457DF3A-D320-3B49-85BE-FF62AE38E1C2}"/>
    <hyperlink ref="B15" r:id="rId16" xr:uid="{A56838DD-3301-FA4E-8675-9D088B4CB3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Runtimes</vt:lpstr>
      <vt:lpstr>Authors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Herrera (SGM Co.)</dc:creator>
  <cp:lastModifiedBy>Rodrigo Herrera (SGM Co.)</cp:lastModifiedBy>
  <dcterms:created xsi:type="dcterms:W3CDTF">2025-08-19T19:21:36Z</dcterms:created>
  <dcterms:modified xsi:type="dcterms:W3CDTF">2025-12-31T14:43:45Z</dcterms:modified>
</cp:coreProperties>
</file>